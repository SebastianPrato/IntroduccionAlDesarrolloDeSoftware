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elena.teran\Downloads\"/>
    </mc:Choice>
  </mc:AlternateContent>
  <xr:revisionPtr revIDLastSave="0" documentId="13_ncr:1_{6C9D3213-93D2-4353-BF91-08F340DB5D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  <c r="G1" i="1"/>
  <c r="F117" i="1"/>
  <c r="C117" i="1"/>
</calcChain>
</file>

<file path=xl/sharedStrings.xml><?xml version="1.0" encoding="utf-8"?>
<sst xmlns="http://schemas.openxmlformats.org/spreadsheetml/2006/main" count="350" uniqueCount="242">
  <si>
    <t>Padrón</t>
  </si>
  <si>
    <t>Nombre Alumno</t>
  </si>
  <si>
    <t>Nota</t>
  </si>
  <si>
    <t>Corrector</t>
  </si>
  <si>
    <t>94777</t>
  </si>
  <si>
    <t>99365</t>
  </si>
  <si>
    <t>100265</t>
  </si>
  <si>
    <t>103577</t>
  </si>
  <si>
    <t>104649</t>
  </si>
  <si>
    <t>105207</t>
  </si>
  <si>
    <t>105695</t>
  </si>
  <si>
    <t>106216</t>
  </si>
  <si>
    <t>106795</t>
  </si>
  <si>
    <t>106991</t>
  </si>
  <si>
    <t>107166</t>
  </si>
  <si>
    <t>107575</t>
  </si>
  <si>
    <t>108008</t>
  </si>
  <si>
    <t>109825</t>
  </si>
  <si>
    <t>109945</t>
  </si>
  <si>
    <t>110270</t>
  </si>
  <si>
    <t>110698</t>
  </si>
  <si>
    <t>111047</t>
  </si>
  <si>
    <t>111275</t>
  </si>
  <si>
    <t>111344</t>
  </si>
  <si>
    <t>111468</t>
  </si>
  <si>
    <t>111487</t>
  </si>
  <si>
    <t>111566</t>
  </si>
  <si>
    <t>111619</t>
  </si>
  <si>
    <t>111826</t>
  </si>
  <si>
    <t>111838</t>
  </si>
  <si>
    <t>112045</t>
  </si>
  <si>
    <t>112263</t>
  </si>
  <si>
    <t>112312</t>
  </si>
  <si>
    <t>112334</t>
  </si>
  <si>
    <t>112372</t>
  </si>
  <si>
    <t>112406</t>
  </si>
  <si>
    <t>112490</t>
  </si>
  <si>
    <t>112610</t>
  </si>
  <si>
    <t>112697</t>
  </si>
  <si>
    <t>112724</t>
  </si>
  <si>
    <t>112747</t>
  </si>
  <si>
    <t>112754</t>
  </si>
  <si>
    <t>112843</t>
  </si>
  <si>
    <t>112878</t>
  </si>
  <si>
    <t>112900</t>
  </si>
  <si>
    <t>112938</t>
  </si>
  <si>
    <t>112941</t>
  </si>
  <si>
    <t>112944</t>
  </si>
  <si>
    <t>112955</t>
  </si>
  <si>
    <t>113004</t>
  </si>
  <si>
    <t>113016</t>
  </si>
  <si>
    <t>113045</t>
  </si>
  <si>
    <t>113052</t>
  </si>
  <si>
    <t>113149</t>
  </si>
  <si>
    <t>113158</t>
  </si>
  <si>
    <t>113168</t>
  </si>
  <si>
    <t>113176</t>
  </si>
  <si>
    <t>113210</t>
  </si>
  <si>
    <t>113224</t>
  </si>
  <si>
    <t>113246</t>
  </si>
  <si>
    <t>113258</t>
  </si>
  <si>
    <t>113265</t>
  </si>
  <si>
    <t>113269</t>
  </si>
  <si>
    <t>113273</t>
  </si>
  <si>
    <t>113361</t>
  </si>
  <si>
    <t>113364</t>
  </si>
  <si>
    <t>113384</t>
  </si>
  <si>
    <t>113387</t>
  </si>
  <si>
    <t>113419</t>
  </si>
  <si>
    <t>113433</t>
  </si>
  <si>
    <t>113436</t>
  </si>
  <si>
    <t>113440</t>
  </si>
  <si>
    <t>113453</t>
  </si>
  <si>
    <t>113479</t>
  </si>
  <si>
    <t>113486</t>
  </si>
  <si>
    <t>113497</t>
  </si>
  <si>
    <t>113506</t>
  </si>
  <si>
    <t>113561</t>
  </si>
  <si>
    <t>113562</t>
  </si>
  <si>
    <t>113574</t>
  </si>
  <si>
    <t>113596</t>
  </si>
  <si>
    <t>113608</t>
  </si>
  <si>
    <t>113612</t>
  </si>
  <si>
    <t>113615</t>
  </si>
  <si>
    <t>113622</t>
  </si>
  <si>
    <t>113630</t>
  </si>
  <si>
    <t>113633</t>
  </si>
  <si>
    <t>113695</t>
  </si>
  <si>
    <t>113707</t>
  </si>
  <si>
    <t>113734</t>
  </si>
  <si>
    <t>113735</t>
  </si>
  <si>
    <t>113738</t>
  </si>
  <si>
    <t>113744</t>
  </si>
  <si>
    <t>113755</t>
  </si>
  <si>
    <t>113777</t>
  </si>
  <si>
    <t>113784</t>
  </si>
  <si>
    <t>113793</t>
  </si>
  <si>
    <t>113803</t>
  </si>
  <si>
    <t>113814</t>
  </si>
  <si>
    <t>113830</t>
  </si>
  <si>
    <t>113834</t>
  </si>
  <si>
    <t>113860</t>
  </si>
  <si>
    <t>113866</t>
  </si>
  <si>
    <t>113882</t>
  </si>
  <si>
    <t>113887</t>
  </si>
  <si>
    <t>113962</t>
  </si>
  <si>
    <t>113982</t>
  </si>
  <si>
    <t>113997</t>
  </si>
  <si>
    <t>114016</t>
  </si>
  <si>
    <t>114019</t>
  </si>
  <si>
    <t>114021</t>
  </si>
  <si>
    <t>114022</t>
  </si>
  <si>
    <t>114028</t>
  </si>
  <si>
    <t>114031</t>
  </si>
  <si>
    <t>114036</t>
  </si>
  <si>
    <t>114073</t>
  </si>
  <si>
    <t>114105</t>
  </si>
  <si>
    <t>114108</t>
  </si>
  <si>
    <t>FAVERO, JERONIMO</t>
  </si>
  <si>
    <t>TAMHAZIAN, NICOLÁS</t>
  </si>
  <si>
    <t>SONCINI, ANDRES ELISEO</t>
  </si>
  <si>
    <t>YAQUE, MICAELA MARIANA</t>
  </si>
  <si>
    <t>MAMANI CALLE, CAROLINA SOLEDAD</t>
  </si>
  <si>
    <t>PAMPIN DEANGELIS, LEANDRO NAHUEL</t>
  </si>
  <si>
    <t>PATE, GIANLUCA MIGUEL</t>
  </si>
  <si>
    <t>Mallqui Cárdenas, Rafael Daniel</t>
  </si>
  <si>
    <t>VILLA, NAHUEL MATIAS</t>
  </si>
  <si>
    <t>Susana Cai</t>
  </si>
  <si>
    <t>QUIROZ, BRIAN ABEL</t>
  </si>
  <si>
    <t>Gonzalez, Luis</t>
  </si>
  <si>
    <t>NUNES, FACUNDO</t>
  </si>
  <si>
    <t>SANTA CRUZ JIMENEZ, JOHN EDUARS</t>
  </si>
  <si>
    <t>Francisca Gaillard</t>
  </si>
  <si>
    <t>SUAREZ, MARIANO</t>
  </si>
  <si>
    <t>ZERPA HUBIEDA, JOSE ALEJANDRO</t>
  </si>
  <si>
    <t>Agostina Armando</t>
  </si>
  <si>
    <t>ROJAS, JUAN JOSÉ</t>
  </si>
  <si>
    <t>RODRIGO, IGNACIO</t>
  </si>
  <si>
    <t>PORTELA, MATIAS NAHUEL</t>
  </si>
  <si>
    <t>VERA VILLENA, LIZETH CINTHIA</t>
  </si>
  <si>
    <t>PEREZ, JUAN FRANCISCO</t>
  </si>
  <si>
    <t>PRATO, SEBASTIAN</t>
  </si>
  <si>
    <t>MANCINI, LUCAS</t>
  </si>
  <si>
    <t>Messil, Federico</t>
  </si>
  <si>
    <t>QUIÑONES, JOEL</t>
  </si>
  <si>
    <t>CORO, LUIS FERNANDO</t>
  </si>
  <si>
    <t>LOPEZ, LAZARO AGUSTIN</t>
  </si>
  <si>
    <t>HENRY, MARIE COLETTE</t>
  </si>
  <si>
    <t>ROMÁN, PATRICIO</t>
  </si>
  <si>
    <t>FRETE, LUCIO</t>
  </si>
  <si>
    <t>PORRAS, JHEANET</t>
  </si>
  <si>
    <t>VAZQUEZ, RODRIGO</t>
  </si>
  <si>
    <t>SILISQUE, ELÍAS</t>
  </si>
  <si>
    <t>ROMERO, VALENTINA</t>
  </si>
  <si>
    <t>RAMOS, ANGIE</t>
  </si>
  <si>
    <t>POMBO MUZZOLÓN, VALERIA</t>
  </si>
  <si>
    <t>CONDORI, JOSE ARMANDO</t>
  </si>
  <si>
    <t>PRATTO, CAMILA</t>
  </si>
  <si>
    <t>INGA, LEONARDO</t>
  </si>
  <si>
    <t>PAREDES, VALENTIN</t>
  </si>
  <si>
    <t>PEREZ BERROCAL, CAMILA VANINA</t>
  </si>
  <si>
    <t>DOMINGUEZ, BRANDON YAIR</t>
  </si>
  <si>
    <t>PRGA, MARKO JERONIMO</t>
  </si>
  <si>
    <t>ZARATE, AGUSTÍN</t>
  </si>
  <si>
    <t>TORRES, MARCOS ANDRES</t>
  </si>
  <si>
    <t>GALLARDO, LUCAS</t>
  </si>
  <si>
    <t>del MÓNACO, SANTIAGO</t>
  </si>
  <si>
    <t>CARLETTO, TOMÁS</t>
  </si>
  <si>
    <t>CONDORI MARIN, MAILIN</t>
  </si>
  <si>
    <t>IATSKEVICH, ANDREI</t>
  </si>
  <si>
    <t>GUZZARDI, Santiago</t>
  </si>
  <si>
    <t>CARABAJAL, TOMAS</t>
  </si>
  <si>
    <t>PASTELOFF, MATIAS EZEQUIEL</t>
  </si>
  <si>
    <t>ACOSTA, LEON</t>
  </si>
  <si>
    <t>PARMIGIANO, AGOSTINA</t>
  </si>
  <si>
    <t>GUASTAVINO, FRANCO</t>
  </si>
  <si>
    <t>RUDMAN, AGUSTINA CELESTE</t>
  </si>
  <si>
    <t>TORRICO, MATÍAS LEONARDO</t>
  </si>
  <si>
    <t>PÉREZ, RAMIRO IVAN</t>
  </si>
  <si>
    <t>BELTRÁN, SANTIAGO</t>
  </si>
  <si>
    <t>NARI, FRANCO</t>
  </si>
  <si>
    <t>GARCIA MARTINEZ, MATIAS</t>
  </si>
  <si>
    <t>VAZQUEZ GAMARRA, KENNIA AYELEN</t>
  </si>
  <si>
    <t>SANTILLAN CARRERA, SOL AYELÉN</t>
  </si>
  <si>
    <t>MASSIN, ELIANA DANIELA</t>
  </si>
  <si>
    <t>SCHIAPPACASSI, CLARA</t>
  </si>
  <si>
    <t>CRUZ, ULISES</t>
  </si>
  <si>
    <t>CRUCEÑO, ROCCO</t>
  </si>
  <si>
    <t>DAVILA, JUAN</t>
  </si>
  <si>
    <t>FRISONI, JEAN LUCA</t>
  </si>
  <si>
    <t>BOLLINI, MARCO</t>
  </si>
  <si>
    <t>PACO, DIONEL ULISES</t>
  </si>
  <si>
    <t>SANDOVAL, JOHAN</t>
  </si>
  <si>
    <t>SANABRIA BAEZ, FIORELA</t>
  </si>
  <si>
    <t>SAPIENZA, MATIAS</t>
  </si>
  <si>
    <t>DOMINGUEZ SIERRA, NAHUEL LAUTARO</t>
  </si>
  <si>
    <t>BARDINA, SANTINO SEBASTIÁN</t>
  </si>
  <si>
    <t>HORLENT MONTEVERDE, NICOLÁS</t>
  </si>
  <si>
    <t>Ezequiel Paradelo</t>
  </si>
  <si>
    <t>MOREL, GONZALO</t>
  </si>
  <si>
    <t>GONZALEZ CASARTELLI, JOSE</t>
  </si>
  <si>
    <t>Ignacio Malmierca</t>
  </si>
  <si>
    <t>ARGUMEDO RIVERA, JOSUE GERARDO</t>
  </si>
  <si>
    <t>DE LA TORRE, JUANA</t>
  </si>
  <si>
    <t>FELDMAN, NICOLAS AGUSTIN</t>
  </si>
  <si>
    <t>PEREZ, FACUNDO EZEQUIEL</t>
  </si>
  <si>
    <t>De Carlo, Agustin</t>
  </si>
  <si>
    <t>NOTARI, LUCIA</t>
  </si>
  <si>
    <t>FLORES, JHONN</t>
  </si>
  <si>
    <t>OJEDA, DANTE NAHUEL</t>
  </si>
  <si>
    <t>ESQUITIN, CANDELA</t>
  </si>
  <si>
    <t>MANCINI, TOMÁS</t>
  </si>
  <si>
    <t>CORREA, MARTIN</t>
  </si>
  <si>
    <t>WIDDER, EZEQUIEL</t>
  </si>
  <si>
    <t>VILCAPUMA CHACHAVOT, ELMER YACHAK</t>
  </si>
  <si>
    <t>MORALES, EDUARDO</t>
  </si>
  <si>
    <t>MEZA, SANDRA</t>
  </si>
  <si>
    <t>FRATI, LUCAS</t>
  </si>
  <si>
    <t>KRONLUND, NICOLÁS JORGE</t>
  </si>
  <si>
    <t>Agustina Lemos</t>
  </si>
  <si>
    <t>Mauro Mundanu</t>
  </si>
  <si>
    <t>Luciana Sanchez</t>
  </si>
  <si>
    <t>Matias Martinez</t>
  </si>
  <si>
    <t>Tomás Agustín Irigoyen Barrone</t>
  </si>
  <si>
    <t>Carolina Teselman</t>
  </si>
  <si>
    <t>santiago sanchez</t>
  </si>
  <si>
    <t>Bruno Castro</t>
  </si>
  <si>
    <t>BENITEZ OLMEDO ALEX NICOLAS</t>
  </si>
  <si>
    <t>Maria Fernanda Rocio Rivera de la Cruz</t>
  </si>
  <si>
    <t>Sabatino Baiocco</t>
  </si>
  <si>
    <t>Rocco Grassano Barbieri</t>
  </si>
  <si>
    <t>Angie Thanne Prado Portocarrero</t>
  </si>
  <si>
    <t>Leo</t>
  </si>
  <si>
    <t>Nestor</t>
  </si>
  <si>
    <t>Martin</t>
  </si>
  <si>
    <t>Tomi V.</t>
  </si>
  <si>
    <t>Caro</t>
  </si>
  <si>
    <t>Bruno</t>
  </si>
  <si>
    <t>Cantidad de estudiantes</t>
  </si>
  <si>
    <t>Cantidad de aprobados</t>
  </si>
  <si>
    <t>Cantidad de reprobados</t>
  </si>
  <si>
    <t>Nota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</si>
</sst>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2" fillId="3" borderId="1" xfId="0" applyFont="1" applyFill="1" applyBorder="1"/>
    <xf numFmtId="0" fontId="1" fillId="2" borderId="1" xfId="0" applyNumberFormat="1" applyFont="1" applyFill="1" applyBorder="1" applyAlignment="1">
      <alignment horizontal="center" vertical="top"/>
    </xf>
    <xf numFmtId="0" fontId="2" fillId="0" borderId="1" xfId="0" applyNumberFormat="1" applyFont="1" applyBorder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B10" sqref="B10"/>
    </sheetView>
  </sheetViews>
  <sheetFormatPr baseColWidth="10" defaultColWidth="6.81640625" defaultRowHeight="15.5" x14ac:dyDescent="0.35"/>
  <cols>
    <col min="1" max="1" width="7.453125" style="1" bestFit="1" customWidth="1"/>
    <col min="2" max="2" width="38.90625" style="1" bestFit="1" customWidth="1"/>
    <col min="3" max="3" width="5.7265625" style="1" bestFit="1" customWidth="1"/>
    <col min="4" max="4" width="9.54296875" style="1" bestFit="1" customWidth="1"/>
    <col min="5" max="5" width="6.81640625" style="1"/>
    <col min="6" max="6" width="22.81640625" style="1" bestFit="1" customWidth="1"/>
    <col min="7" max="7" width="12.1796875" style="1" bestFit="1" customWidth="1"/>
    <col min="8" max="16384" width="6.81640625" style="1"/>
  </cols>
  <sheetData>
    <row r="1" spans="1:7" x14ac:dyDescent="0.35">
      <c r="A1" s="3" t="s">
        <v>0</v>
      </c>
      <c r="B1" s="3" t="s">
        <v>1</v>
      </c>
      <c r="C1" s="6" t="s">
        <v>2</v>
      </c>
      <c r="D1" s="3" t="s">
        <v>3</v>
      </c>
      <c r="F1" s="4" t="s">
        <v>238</v>
      </c>
      <c r="G1" s="5">
        <f>COUNT(C2:C115)</f>
        <v>114</v>
      </c>
    </row>
    <row r="2" spans="1:7" x14ac:dyDescent="0.35">
      <c r="A2" s="2" t="s">
        <v>4</v>
      </c>
      <c r="B2" s="2" t="s">
        <v>118</v>
      </c>
      <c r="C2" s="7">
        <v>10</v>
      </c>
      <c r="D2" s="2" t="s">
        <v>232</v>
      </c>
      <c r="F2" s="4" t="s">
        <v>239</v>
      </c>
      <c r="G2" s="5">
        <f>COUNTIF(C2:C115,"&gt;=4")</f>
        <v>55</v>
      </c>
    </row>
    <row r="3" spans="1:7" x14ac:dyDescent="0.35">
      <c r="A3" s="2" t="s">
        <v>84</v>
      </c>
      <c r="B3" s="2" t="s">
        <v>198</v>
      </c>
      <c r="C3" s="7">
        <v>10</v>
      </c>
      <c r="D3" s="2" t="s">
        <v>234</v>
      </c>
      <c r="F3" s="4" t="s">
        <v>240</v>
      </c>
      <c r="G3" s="5">
        <f>COUNTIF(C2:C115,"&lt;4")</f>
        <v>59</v>
      </c>
    </row>
    <row r="4" spans="1:7" x14ac:dyDescent="0.35">
      <c r="A4" s="2" t="s">
        <v>39</v>
      </c>
      <c r="B4" s="2" t="s">
        <v>153</v>
      </c>
      <c r="C4" s="7">
        <v>9.5</v>
      </c>
      <c r="D4" s="2" t="s">
        <v>237</v>
      </c>
      <c r="F4" s="4" t="s">
        <v>241</v>
      </c>
      <c r="G4" s="5">
        <f>SUM(C2:C115)/COUNT(C2:C115)</f>
        <v>3.692982456140351</v>
      </c>
    </row>
    <row r="5" spans="1:7" x14ac:dyDescent="0.35">
      <c r="A5" s="2" t="s">
        <v>7</v>
      </c>
      <c r="B5" s="2" t="s">
        <v>121</v>
      </c>
      <c r="C5" s="7">
        <v>9</v>
      </c>
      <c r="D5" s="2" t="s">
        <v>234</v>
      </c>
    </row>
    <row r="6" spans="1:7" x14ac:dyDescent="0.35">
      <c r="A6" s="2" t="s">
        <v>76</v>
      </c>
      <c r="B6" s="2" t="s">
        <v>190</v>
      </c>
      <c r="C6" s="7">
        <v>9</v>
      </c>
      <c r="D6" s="2" t="s">
        <v>233</v>
      </c>
    </row>
    <row r="7" spans="1:7" x14ac:dyDescent="0.35">
      <c r="A7" s="2" t="s">
        <v>8</v>
      </c>
      <c r="B7" s="2" t="s">
        <v>122</v>
      </c>
      <c r="C7" s="7">
        <v>8.5</v>
      </c>
      <c r="D7" s="2" t="s">
        <v>232</v>
      </c>
    </row>
    <row r="8" spans="1:7" x14ac:dyDescent="0.35">
      <c r="A8" s="2" t="s">
        <v>88</v>
      </c>
      <c r="B8" s="2" t="s">
        <v>202</v>
      </c>
      <c r="C8" s="7">
        <v>8.5</v>
      </c>
      <c r="D8" s="2" t="s">
        <v>232</v>
      </c>
    </row>
    <row r="9" spans="1:7" x14ac:dyDescent="0.35">
      <c r="A9" s="2" t="s">
        <v>110</v>
      </c>
      <c r="B9" s="2" t="s">
        <v>224</v>
      </c>
      <c r="C9" s="7">
        <v>8</v>
      </c>
      <c r="D9" s="2" t="s">
        <v>235</v>
      </c>
    </row>
    <row r="10" spans="1:7" x14ac:dyDescent="0.35">
      <c r="A10" s="2" t="s">
        <v>111</v>
      </c>
      <c r="B10" s="2" t="s">
        <v>225</v>
      </c>
      <c r="C10" s="7">
        <v>8</v>
      </c>
      <c r="D10" s="2" t="s">
        <v>234</v>
      </c>
    </row>
    <row r="11" spans="1:7" x14ac:dyDescent="0.35">
      <c r="A11" s="2" t="s">
        <v>27</v>
      </c>
      <c r="B11" s="2" t="s">
        <v>141</v>
      </c>
      <c r="C11" s="7">
        <v>7.5</v>
      </c>
      <c r="D11" s="2" t="s">
        <v>232</v>
      </c>
    </row>
    <row r="12" spans="1:7" x14ac:dyDescent="0.35">
      <c r="A12" s="2" t="s">
        <v>47</v>
      </c>
      <c r="B12" s="2" t="s">
        <v>161</v>
      </c>
      <c r="C12" s="7">
        <v>7</v>
      </c>
      <c r="D12" s="2" t="s">
        <v>235</v>
      </c>
    </row>
    <row r="13" spans="1:7" x14ac:dyDescent="0.35">
      <c r="A13" s="2" t="s">
        <v>58</v>
      </c>
      <c r="B13" s="2" t="s">
        <v>172</v>
      </c>
      <c r="C13" s="7">
        <v>7</v>
      </c>
      <c r="D13" s="2" t="s">
        <v>232</v>
      </c>
    </row>
    <row r="14" spans="1:7" x14ac:dyDescent="0.35">
      <c r="A14" s="2" t="s">
        <v>59</v>
      </c>
      <c r="B14" s="2" t="s">
        <v>173</v>
      </c>
      <c r="C14" s="7">
        <v>7</v>
      </c>
      <c r="D14" s="2" t="s">
        <v>232</v>
      </c>
    </row>
    <row r="15" spans="1:7" x14ac:dyDescent="0.35">
      <c r="A15" s="2" t="s">
        <v>71</v>
      </c>
      <c r="B15" s="2" t="s">
        <v>185</v>
      </c>
      <c r="C15" s="7">
        <v>7</v>
      </c>
      <c r="D15" s="2" t="s">
        <v>237</v>
      </c>
    </row>
    <row r="16" spans="1:7" x14ac:dyDescent="0.35">
      <c r="A16" s="2" t="s">
        <v>72</v>
      </c>
      <c r="B16" s="2" t="s">
        <v>186</v>
      </c>
      <c r="C16" s="7">
        <v>7</v>
      </c>
      <c r="D16" s="2" t="s">
        <v>232</v>
      </c>
    </row>
    <row r="17" spans="1:4" x14ac:dyDescent="0.35">
      <c r="A17" s="2" t="s">
        <v>75</v>
      </c>
      <c r="B17" s="2" t="s">
        <v>189</v>
      </c>
      <c r="C17" s="7">
        <v>7</v>
      </c>
      <c r="D17" s="2" t="s">
        <v>237</v>
      </c>
    </row>
    <row r="18" spans="1:4" x14ac:dyDescent="0.35">
      <c r="A18" s="2" t="s">
        <v>80</v>
      </c>
      <c r="B18" s="2" t="s">
        <v>194</v>
      </c>
      <c r="C18" s="7">
        <v>7</v>
      </c>
      <c r="D18" s="2" t="s">
        <v>237</v>
      </c>
    </row>
    <row r="19" spans="1:4" x14ac:dyDescent="0.35">
      <c r="A19" s="2" t="s">
        <v>93</v>
      </c>
      <c r="B19" s="2" t="s">
        <v>207</v>
      </c>
      <c r="C19" s="7">
        <v>7</v>
      </c>
      <c r="D19" s="2" t="s">
        <v>237</v>
      </c>
    </row>
    <row r="20" spans="1:4" x14ac:dyDescent="0.35">
      <c r="A20" s="2" t="s">
        <v>95</v>
      </c>
      <c r="B20" s="2" t="s">
        <v>209</v>
      </c>
      <c r="C20" s="7">
        <v>7</v>
      </c>
      <c r="D20" s="2" t="s">
        <v>237</v>
      </c>
    </row>
    <row r="21" spans="1:4" x14ac:dyDescent="0.35">
      <c r="A21" s="2" t="s">
        <v>96</v>
      </c>
      <c r="B21" s="2" t="s">
        <v>210</v>
      </c>
      <c r="C21" s="7">
        <v>7</v>
      </c>
      <c r="D21" s="2" t="s">
        <v>236</v>
      </c>
    </row>
    <row r="22" spans="1:4" x14ac:dyDescent="0.35">
      <c r="A22" s="2" t="s">
        <v>97</v>
      </c>
      <c r="B22" s="2" t="s">
        <v>211</v>
      </c>
      <c r="C22" s="7">
        <v>7</v>
      </c>
      <c r="D22" s="2" t="s">
        <v>235</v>
      </c>
    </row>
    <row r="23" spans="1:4" x14ac:dyDescent="0.35">
      <c r="A23" s="2" t="s">
        <v>98</v>
      </c>
      <c r="B23" s="2" t="s">
        <v>212</v>
      </c>
      <c r="C23" s="7">
        <v>7</v>
      </c>
      <c r="D23" s="2" t="s">
        <v>237</v>
      </c>
    </row>
    <row r="24" spans="1:4" x14ac:dyDescent="0.35">
      <c r="A24" s="2" t="s">
        <v>37</v>
      </c>
      <c r="B24" s="2" t="s">
        <v>151</v>
      </c>
      <c r="C24" s="7">
        <v>6.5</v>
      </c>
      <c r="D24" s="2" t="s">
        <v>233</v>
      </c>
    </row>
    <row r="25" spans="1:4" x14ac:dyDescent="0.35">
      <c r="A25" s="2" t="s">
        <v>62</v>
      </c>
      <c r="B25" s="2" t="s">
        <v>176</v>
      </c>
      <c r="C25" s="7">
        <v>6.5</v>
      </c>
      <c r="D25" s="2" t="s">
        <v>236</v>
      </c>
    </row>
    <row r="26" spans="1:4" x14ac:dyDescent="0.35">
      <c r="A26" s="2" t="s">
        <v>81</v>
      </c>
      <c r="B26" s="2" t="s">
        <v>195</v>
      </c>
      <c r="C26" s="7">
        <v>6.5</v>
      </c>
      <c r="D26" s="2" t="s">
        <v>236</v>
      </c>
    </row>
    <row r="27" spans="1:4" x14ac:dyDescent="0.35">
      <c r="A27" s="2" t="s">
        <v>94</v>
      </c>
      <c r="B27" s="2" t="s">
        <v>208</v>
      </c>
      <c r="C27" s="7">
        <v>6.5</v>
      </c>
      <c r="D27" s="2" t="s">
        <v>233</v>
      </c>
    </row>
    <row r="28" spans="1:4" x14ac:dyDescent="0.35">
      <c r="A28" s="2" t="s">
        <v>6</v>
      </c>
      <c r="B28" s="2" t="s">
        <v>120</v>
      </c>
      <c r="C28" s="7">
        <v>6</v>
      </c>
      <c r="D28" s="2" t="s">
        <v>233</v>
      </c>
    </row>
    <row r="29" spans="1:4" x14ac:dyDescent="0.35">
      <c r="A29" s="2" t="s">
        <v>53</v>
      </c>
      <c r="B29" s="2" t="s">
        <v>167</v>
      </c>
      <c r="C29" s="7">
        <v>6</v>
      </c>
      <c r="D29" s="2" t="s">
        <v>235</v>
      </c>
    </row>
    <row r="30" spans="1:4" x14ac:dyDescent="0.35">
      <c r="A30" s="2" t="s">
        <v>69</v>
      </c>
      <c r="B30" s="2" t="s">
        <v>183</v>
      </c>
      <c r="C30" s="7">
        <v>6</v>
      </c>
      <c r="D30" s="2" t="s">
        <v>234</v>
      </c>
    </row>
    <row r="31" spans="1:4" x14ac:dyDescent="0.35">
      <c r="A31" s="2" t="s">
        <v>87</v>
      </c>
      <c r="B31" s="2" t="s">
        <v>201</v>
      </c>
      <c r="C31" s="7">
        <v>6</v>
      </c>
      <c r="D31" s="2" t="s">
        <v>234</v>
      </c>
    </row>
    <row r="32" spans="1:4" x14ac:dyDescent="0.35">
      <c r="A32" s="2" t="s">
        <v>104</v>
      </c>
      <c r="B32" s="2" t="s">
        <v>218</v>
      </c>
      <c r="C32" s="7">
        <v>6</v>
      </c>
      <c r="D32" s="2" t="s">
        <v>234</v>
      </c>
    </row>
    <row r="33" spans="1:4" x14ac:dyDescent="0.35">
      <c r="A33" s="2" t="s">
        <v>109</v>
      </c>
      <c r="B33" s="2" t="s">
        <v>223</v>
      </c>
      <c r="C33" s="7">
        <v>6</v>
      </c>
      <c r="D33" s="2" t="s">
        <v>234</v>
      </c>
    </row>
    <row r="34" spans="1:4" x14ac:dyDescent="0.35">
      <c r="A34" s="2" t="s">
        <v>32</v>
      </c>
      <c r="B34" s="2" t="s">
        <v>146</v>
      </c>
      <c r="C34" s="7">
        <v>5.5</v>
      </c>
      <c r="D34" s="2" t="s">
        <v>233</v>
      </c>
    </row>
    <row r="35" spans="1:4" x14ac:dyDescent="0.35">
      <c r="A35" s="2" t="s">
        <v>35</v>
      </c>
      <c r="B35" s="2" t="s">
        <v>149</v>
      </c>
      <c r="C35" s="7">
        <v>5.5</v>
      </c>
      <c r="D35" s="2" t="s">
        <v>232</v>
      </c>
    </row>
    <row r="36" spans="1:4" x14ac:dyDescent="0.35">
      <c r="A36" s="2" t="s">
        <v>38</v>
      </c>
      <c r="B36" s="2" t="s">
        <v>152</v>
      </c>
      <c r="C36" s="7">
        <v>5.5</v>
      </c>
      <c r="D36" s="2" t="s">
        <v>237</v>
      </c>
    </row>
    <row r="37" spans="1:4" x14ac:dyDescent="0.35">
      <c r="A37" s="2" t="s">
        <v>92</v>
      </c>
      <c r="B37" s="2" t="s">
        <v>206</v>
      </c>
      <c r="C37" s="7">
        <v>5.5</v>
      </c>
      <c r="D37" s="2" t="s">
        <v>237</v>
      </c>
    </row>
    <row r="38" spans="1:4" x14ac:dyDescent="0.35">
      <c r="A38" s="2" t="s">
        <v>9</v>
      </c>
      <c r="B38" s="2" t="s">
        <v>123</v>
      </c>
      <c r="C38" s="7">
        <v>5</v>
      </c>
      <c r="D38" s="2" t="s">
        <v>235</v>
      </c>
    </row>
    <row r="39" spans="1:4" x14ac:dyDescent="0.35">
      <c r="A39" s="2" t="s">
        <v>10</v>
      </c>
      <c r="B39" s="2" t="s">
        <v>124</v>
      </c>
      <c r="C39" s="7">
        <v>5</v>
      </c>
      <c r="D39" s="2" t="s">
        <v>234</v>
      </c>
    </row>
    <row r="40" spans="1:4" x14ac:dyDescent="0.35">
      <c r="A40" s="2" t="s">
        <v>20</v>
      </c>
      <c r="B40" s="2" t="s">
        <v>134</v>
      </c>
      <c r="C40" s="7">
        <v>5</v>
      </c>
      <c r="D40" s="2" t="s">
        <v>233</v>
      </c>
    </row>
    <row r="41" spans="1:4" x14ac:dyDescent="0.35">
      <c r="A41" s="2" t="s">
        <v>24</v>
      </c>
      <c r="B41" s="2" t="s">
        <v>138</v>
      </c>
      <c r="C41" s="7">
        <v>5</v>
      </c>
      <c r="D41" s="2" t="s">
        <v>235</v>
      </c>
    </row>
    <row r="42" spans="1:4" x14ac:dyDescent="0.35">
      <c r="A42" s="2" t="s">
        <v>49</v>
      </c>
      <c r="B42" s="2" t="s">
        <v>163</v>
      </c>
      <c r="C42" s="7">
        <v>5</v>
      </c>
      <c r="D42" s="2" t="s">
        <v>233</v>
      </c>
    </row>
    <row r="43" spans="1:4" x14ac:dyDescent="0.35">
      <c r="A43" s="2" t="s">
        <v>68</v>
      </c>
      <c r="B43" s="2" t="s">
        <v>182</v>
      </c>
      <c r="C43" s="7">
        <v>5</v>
      </c>
      <c r="D43" s="2" t="s">
        <v>235</v>
      </c>
    </row>
    <row r="44" spans="1:4" x14ac:dyDescent="0.35">
      <c r="A44" s="2" t="s">
        <v>12</v>
      </c>
      <c r="B44" s="2" t="s">
        <v>126</v>
      </c>
      <c r="C44" s="7">
        <v>4</v>
      </c>
      <c r="D44" s="2" t="s">
        <v>236</v>
      </c>
    </row>
    <row r="45" spans="1:4" x14ac:dyDescent="0.35">
      <c r="A45" s="2" t="s">
        <v>19</v>
      </c>
      <c r="B45" s="2" t="s">
        <v>133</v>
      </c>
      <c r="C45" s="7">
        <v>4</v>
      </c>
      <c r="D45" s="2" t="s">
        <v>236</v>
      </c>
    </row>
    <row r="46" spans="1:4" x14ac:dyDescent="0.35">
      <c r="A46" s="2" t="s">
        <v>28</v>
      </c>
      <c r="B46" s="2" t="s">
        <v>142</v>
      </c>
      <c r="C46" s="7">
        <v>4</v>
      </c>
      <c r="D46" s="2" t="s">
        <v>237</v>
      </c>
    </row>
    <row r="47" spans="1:4" x14ac:dyDescent="0.35">
      <c r="A47" s="2" t="s">
        <v>48</v>
      </c>
      <c r="B47" s="2" t="s">
        <v>162</v>
      </c>
      <c r="C47" s="7">
        <v>4</v>
      </c>
      <c r="D47" s="2" t="s">
        <v>236</v>
      </c>
    </row>
    <row r="48" spans="1:4" x14ac:dyDescent="0.35">
      <c r="A48" s="2" t="s">
        <v>51</v>
      </c>
      <c r="B48" s="2" t="s">
        <v>165</v>
      </c>
      <c r="C48" s="7">
        <v>4</v>
      </c>
      <c r="D48" s="2" t="s">
        <v>234</v>
      </c>
    </row>
    <row r="49" spans="1:4" x14ac:dyDescent="0.35">
      <c r="A49" s="2" t="s">
        <v>56</v>
      </c>
      <c r="B49" s="2" t="s">
        <v>170</v>
      </c>
      <c r="C49" s="7">
        <v>4</v>
      </c>
      <c r="D49" s="2" t="s">
        <v>234</v>
      </c>
    </row>
    <row r="50" spans="1:4" x14ac:dyDescent="0.35">
      <c r="A50" s="2" t="s">
        <v>65</v>
      </c>
      <c r="B50" s="2" t="s">
        <v>179</v>
      </c>
      <c r="C50" s="7">
        <v>4</v>
      </c>
      <c r="D50" s="2" t="s">
        <v>237</v>
      </c>
    </row>
    <row r="51" spans="1:4" x14ac:dyDescent="0.35">
      <c r="A51" s="2" t="s">
        <v>82</v>
      </c>
      <c r="B51" s="2" t="s">
        <v>196</v>
      </c>
      <c r="C51" s="7">
        <v>4</v>
      </c>
      <c r="D51" s="2" t="s">
        <v>235</v>
      </c>
    </row>
    <row r="52" spans="1:4" x14ac:dyDescent="0.35">
      <c r="A52" s="2" t="s">
        <v>86</v>
      </c>
      <c r="B52" s="2" t="s">
        <v>200</v>
      </c>
      <c r="C52" s="7">
        <v>4</v>
      </c>
      <c r="D52" s="2" t="s">
        <v>234</v>
      </c>
    </row>
    <row r="53" spans="1:4" x14ac:dyDescent="0.35">
      <c r="A53" s="2" t="s">
        <v>90</v>
      </c>
      <c r="B53" s="2" t="s">
        <v>204</v>
      </c>
      <c r="C53" s="7">
        <v>4</v>
      </c>
      <c r="D53" s="2" t="s">
        <v>233</v>
      </c>
    </row>
    <row r="54" spans="1:4" x14ac:dyDescent="0.35">
      <c r="A54" s="2" t="s">
        <v>105</v>
      </c>
      <c r="B54" s="2" t="s">
        <v>219</v>
      </c>
      <c r="C54" s="7">
        <v>4</v>
      </c>
      <c r="D54" s="2" t="s">
        <v>232</v>
      </c>
    </row>
    <row r="55" spans="1:4" x14ac:dyDescent="0.35">
      <c r="A55" s="2" t="s">
        <v>106</v>
      </c>
      <c r="B55" s="2" t="s">
        <v>220</v>
      </c>
      <c r="C55" s="7">
        <v>4</v>
      </c>
      <c r="D55" s="2" t="s">
        <v>237</v>
      </c>
    </row>
    <row r="56" spans="1:4" x14ac:dyDescent="0.35">
      <c r="A56" s="2" t="s">
        <v>115</v>
      </c>
      <c r="B56" s="2" t="s">
        <v>229</v>
      </c>
      <c r="C56" s="7">
        <v>4</v>
      </c>
      <c r="D56" s="2" t="s">
        <v>237</v>
      </c>
    </row>
    <row r="57" spans="1:4" x14ac:dyDescent="0.35">
      <c r="A57" s="2" t="s">
        <v>45</v>
      </c>
      <c r="B57" s="2" t="s">
        <v>159</v>
      </c>
      <c r="C57" s="7">
        <v>3</v>
      </c>
      <c r="D57" s="2" t="s">
        <v>232</v>
      </c>
    </row>
    <row r="58" spans="1:4" x14ac:dyDescent="0.35">
      <c r="A58" s="2" t="s">
        <v>55</v>
      </c>
      <c r="B58" s="2" t="s">
        <v>169</v>
      </c>
      <c r="C58" s="7">
        <v>3</v>
      </c>
      <c r="D58" s="2" t="s">
        <v>232</v>
      </c>
    </row>
    <row r="59" spans="1:4" x14ac:dyDescent="0.35">
      <c r="A59" s="2" t="s">
        <v>5</v>
      </c>
      <c r="B59" s="2" t="s">
        <v>119</v>
      </c>
      <c r="C59" s="7">
        <v>2</v>
      </c>
      <c r="D59" s="2" t="s">
        <v>233</v>
      </c>
    </row>
    <row r="60" spans="1:4" x14ac:dyDescent="0.35">
      <c r="A60" s="2" t="s">
        <v>14</v>
      </c>
      <c r="B60" s="2" t="s">
        <v>128</v>
      </c>
      <c r="C60" s="7">
        <v>2</v>
      </c>
      <c r="D60" s="2" t="s">
        <v>237</v>
      </c>
    </row>
    <row r="61" spans="1:4" x14ac:dyDescent="0.35">
      <c r="A61" s="2" t="s">
        <v>15</v>
      </c>
      <c r="B61" s="2" t="s">
        <v>129</v>
      </c>
      <c r="C61" s="7">
        <v>2</v>
      </c>
      <c r="D61" s="2" t="s">
        <v>233</v>
      </c>
    </row>
    <row r="62" spans="1:4" x14ac:dyDescent="0.35">
      <c r="A62" s="2" t="s">
        <v>18</v>
      </c>
      <c r="B62" s="2" t="s">
        <v>132</v>
      </c>
      <c r="C62" s="7">
        <v>2</v>
      </c>
      <c r="D62" s="2" t="s">
        <v>233</v>
      </c>
    </row>
    <row r="63" spans="1:4" x14ac:dyDescent="0.35">
      <c r="A63" s="2" t="s">
        <v>22</v>
      </c>
      <c r="B63" s="2" t="s">
        <v>136</v>
      </c>
      <c r="C63" s="7">
        <v>2</v>
      </c>
      <c r="D63" s="2" t="s">
        <v>237</v>
      </c>
    </row>
    <row r="64" spans="1:4" x14ac:dyDescent="0.35">
      <c r="A64" s="2" t="s">
        <v>29</v>
      </c>
      <c r="B64" s="2" t="s">
        <v>143</v>
      </c>
      <c r="C64" s="7">
        <v>2</v>
      </c>
      <c r="D64" s="2" t="s">
        <v>233</v>
      </c>
    </row>
    <row r="65" spans="1:4" x14ac:dyDescent="0.35">
      <c r="A65" s="2" t="s">
        <v>43</v>
      </c>
      <c r="B65" s="2" t="s">
        <v>157</v>
      </c>
      <c r="C65" s="7">
        <v>2</v>
      </c>
      <c r="D65" s="2" t="s">
        <v>237</v>
      </c>
    </row>
    <row r="66" spans="1:4" x14ac:dyDescent="0.35">
      <c r="A66" s="2" t="s">
        <v>50</v>
      </c>
      <c r="B66" s="2" t="s">
        <v>164</v>
      </c>
      <c r="C66" s="7">
        <v>2</v>
      </c>
      <c r="D66" s="2" t="s">
        <v>233</v>
      </c>
    </row>
    <row r="67" spans="1:4" x14ac:dyDescent="0.35">
      <c r="A67" s="2" t="s">
        <v>57</v>
      </c>
      <c r="B67" s="2" t="s">
        <v>171</v>
      </c>
      <c r="C67" s="7">
        <v>2</v>
      </c>
      <c r="D67" s="2" t="s">
        <v>237</v>
      </c>
    </row>
    <row r="68" spans="1:4" x14ac:dyDescent="0.35">
      <c r="A68" s="2" t="s">
        <v>60</v>
      </c>
      <c r="B68" s="2" t="s">
        <v>174</v>
      </c>
      <c r="C68" s="7">
        <v>2</v>
      </c>
      <c r="D68" s="2" t="s">
        <v>237</v>
      </c>
    </row>
    <row r="69" spans="1:4" x14ac:dyDescent="0.35">
      <c r="A69" s="2" t="s">
        <v>61</v>
      </c>
      <c r="B69" s="2" t="s">
        <v>175</v>
      </c>
      <c r="C69" s="7">
        <v>2</v>
      </c>
      <c r="D69" s="2" t="s">
        <v>233</v>
      </c>
    </row>
    <row r="70" spans="1:4" x14ac:dyDescent="0.35">
      <c r="A70" s="2" t="s">
        <v>64</v>
      </c>
      <c r="B70" s="2" t="s">
        <v>178</v>
      </c>
      <c r="C70" s="7">
        <v>2</v>
      </c>
      <c r="D70" s="2" t="s">
        <v>233</v>
      </c>
    </row>
    <row r="71" spans="1:4" x14ac:dyDescent="0.35">
      <c r="A71" s="2" t="s">
        <v>67</v>
      </c>
      <c r="B71" s="2" t="s">
        <v>181</v>
      </c>
      <c r="C71" s="7">
        <v>2</v>
      </c>
      <c r="D71" s="2" t="s">
        <v>233</v>
      </c>
    </row>
    <row r="72" spans="1:4" x14ac:dyDescent="0.35">
      <c r="A72" s="2" t="s">
        <v>74</v>
      </c>
      <c r="B72" s="2" t="s">
        <v>188</v>
      </c>
      <c r="C72" s="7">
        <v>2</v>
      </c>
      <c r="D72" s="2" t="s">
        <v>233</v>
      </c>
    </row>
    <row r="73" spans="1:4" x14ac:dyDescent="0.35">
      <c r="A73" s="2" t="s">
        <v>78</v>
      </c>
      <c r="B73" s="2" t="s">
        <v>192</v>
      </c>
      <c r="C73" s="7">
        <v>2</v>
      </c>
      <c r="D73" s="2" t="s">
        <v>232</v>
      </c>
    </row>
    <row r="74" spans="1:4" x14ac:dyDescent="0.35">
      <c r="A74" s="2" t="s">
        <v>83</v>
      </c>
      <c r="B74" s="2" t="s">
        <v>197</v>
      </c>
      <c r="C74" s="7">
        <v>2</v>
      </c>
      <c r="D74" s="2" t="s">
        <v>237</v>
      </c>
    </row>
    <row r="75" spans="1:4" x14ac:dyDescent="0.35">
      <c r="A75" s="2" t="s">
        <v>85</v>
      </c>
      <c r="B75" s="2" t="s">
        <v>199</v>
      </c>
      <c r="C75" s="7">
        <v>2</v>
      </c>
      <c r="D75" s="2" t="s">
        <v>237</v>
      </c>
    </row>
    <row r="76" spans="1:4" x14ac:dyDescent="0.35">
      <c r="A76" s="2" t="s">
        <v>99</v>
      </c>
      <c r="B76" s="2" t="s">
        <v>213</v>
      </c>
      <c r="C76" s="7">
        <v>2</v>
      </c>
      <c r="D76" s="2" t="s">
        <v>237</v>
      </c>
    </row>
    <row r="77" spans="1:4" x14ac:dyDescent="0.35">
      <c r="A77" s="2" t="s">
        <v>101</v>
      </c>
      <c r="B77" s="2" t="s">
        <v>215</v>
      </c>
      <c r="C77" s="7">
        <v>2</v>
      </c>
      <c r="D77" s="2" t="s">
        <v>233</v>
      </c>
    </row>
    <row r="78" spans="1:4" x14ac:dyDescent="0.35">
      <c r="A78" s="2" t="s">
        <v>103</v>
      </c>
      <c r="B78" s="2" t="s">
        <v>217</v>
      </c>
      <c r="C78" s="7">
        <v>2</v>
      </c>
      <c r="D78" s="2" t="s">
        <v>233</v>
      </c>
    </row>
    <row r="79" spans="1:4" x14ac:dyDescent="0.35">
      <c r="A79" s="2" t="s">
        <v>11</v>
      </c>
      <c r="B79" s="2" t="s">
        <v>125</v>
      </c>
      <c r="C79" s="7">
        <v>1</v>
      </c>
      <c r="D79" s="2" t="s">
        <v>236</v>
      </c>
    </row>
    <row r="80" spans="1:4" x14ac:dyDescent="0.35">
      <c r="A80" s="2" t="s">
        <v>13</v>
      </c>
      <c r="B80" s="2" t="s">
        <v>127</v>
      </c>
      <c r="C80" s="7">
        <v>1</v>
      </c>
      <c r="D80" s="2" t="s">
        <v>236</v>
      </c>
    </row>
    <row r="81" spans="1:4" x14ac:dyDescent="0.35">
      <c r="A81" s="2" t="s">
        <v>16</v>
      </c>
      <c r="B81" s="2" t="s">
        <v>130</v>
      </c>
      <c r="C81" s="7">
        <v>1</v>
      </c>
      <c r="D81" s="2" t="s">
        <v>236</v>
      </c>
    </row>
    <row r="82" spans="1:4" x14ac:dyDescent="0.35">
      <c r="A82" s="2" t="s">
        <v>17</v>
      </c>
      <c r="B82" s="2" t="s">
        <v>131</v>
      </c>
      <c r="C82" s="7">
        <v>1</v>
      </c>
      <c r="D82" s="2" t="s">
        <v>236</v>
      </c>
    </row>
    <row r="83" spans="1:4" x14ac:dyDescent="0.35">
      <c r="A83" s="2" t="s">
        <v>21</v>
      </c>
      <c r="B83" s="2" t="s">
        <v>135</v>
      </c>
      <c r="C83" s="7">
        <v>1</v>
      </c>
      <c r="D83" s="2" t="s">
        <v>234</v>
      </c>
    </row>
    <row r="84" spans="1:4" x14ac:dyDescent="0.35">
      <c r="A84" s="2" t="s">
        <v>23</v>
      </c>
      <c r="B84" s="2" t="s">
        <v>137</v>
      </c>
      <c r="C84" s="7">
        <v>1</v>
      </c>
      <c r="D84" s="2" t="s">
        <v>236</v>
      </c>
    </row>
    <row r="85" spans="1:4" x14ac:dyDescent="0.35">
      <c r="A85" s="2" t="s">
        <v>25</v>
      </c>
      <c r="B85" s="2" t="s">
        <v>139</v>
      </c>
      <c r="C85" s="7">
        <v>1</v>
      </c>
      <c r="D85" s="2" t="s">
        <v>235</v>
      </c>
    </row>
    <row r="86" spans="1:4" x14ac:dyDescent="0.35">
      <c r="A86" s="2" t="s">
        <v>26</v>
      </c>
      <c r="B86" s="2" t="s">
        <v>140</v>
      </c>
      <c r="C86" s="7">
        <v>1</v>
      </c>
      <c r="D86" s="2" t="s">
        <v>235</v>
      </c>
    </row>
    <row r="87" spans="1:4" x14ac:dyDescent="0.35">
      <c r="A87" s="2" t="s">
        <v>30</v>
      </c>
      <c r="B87" s="2" t="s">
        <v>144</v>
      </c>
      <c r="C87" s="7">
        <v>1</v>
      </c>
      <c r="D87" s="2" t="s">
        <v>236</v>
      </c>
    </row>
    <row r="88" spans="1:4" x14ac:dyDescent="0.35">
      <c r="A88" s="2" t="s">
        <v>31</v>
      </c>
      <c r="B88" s="2" t="s">
        <v>145</v>
      </c>
      <c r="C88" s="7">
        <v>1</v>
      </c>
      <c r="D88" s="2" t="s">
        <v>234</v>
      </c>
    </row>
    <row r="89" spans="1:4" x14ac:dyDescent="0.35">
      <c r="A89" s="2" t="s">
        <v>33</v>
      </c>
      <c r="B89" s="2" t="s">
        <v>147</v>
      </c>
      <c r="C89" s="7">
        <v>1</v>
      </c>
      <c r="D89" s="2" t="s">
        <v>236</v>
      </c>
    </row>
    <row r="90" spans="1:4" x14ac:dyDescent="0.35">
      <c r="A90" s="2" t="s">
        <v>34</v>
      </c>
      <c r="B90" s="2" t="s">
        <v>148</v>
      </c>
      <c r="C90" s="7">
        <v>1</v>
      </c>
      <c r="D90" s="2" t="s">
        <v>236</v>
      </c>
    </row>
    <row r="91" spans="1:4" x14ac:dyDescent="0.35">
      <c r="A91" s="2" t="s">
        <v>36</v>
      </c>
      <c r="B91" s="2" t="s">
        <v>150</v>
      </c>
      <c r="C91" s="7">
        <v>1</v>
      </c>
      <c r="D91" s="2" t="s">
        <v>235</v>
      </c>
    </row>
    <row r="92" spans="1:4" x14ac:dyDescent="0.35">
      <c r="A92" s="2" t="s">
        <v>40</v>
      </c>
      <c r="B92" s="2" t="s">
        <v>154</v>
      </c>
      <c r="C92" s="7">
        <v>1</v>
      </c>
      <c r="D92" s="2" t="s">
        <v>236</v>
      </c>
    </row>
    <row r="93" spans="1:4" x14ac:dyDescent="0.35">
      <c r="A93" s="2" t="s">
        <v>41</v>
      </c>
      <c r="B93" s="2" t="s">
        <v>155</v>
      </c>
      <c r="C93" s="7">
        <v>1</v>
      </c>
      <c r="D93" s="2" t="s">
        <v>234</v>
      </c>
    </row>
    <row r="94" spans="1:4" x14ac:dyDescent="0.35">
      <c r="A94" s="2" t="s">
        <v>42</v>
      </c>
      <c r="B94" s="2" t="s">
        <v>156</v>
      </c>
      <c r="C94" s="7">
        <v>1</v>
      </c>
      <c r="D94" s="2" t="s">
        <v>236</v>
      </c>
    </row>
    <row r="95" spans="1:4" x14ac:dyDescent="0.35">
      <c r="A95" s="2" t="s">
        <v>44</v>
      </c>
      <c r="B95" s="2" t="s">
        <v>158</v>
      </c>
      <c r="C95" s="7">
        <v>1</v>
      </c>
      <c r="D95" s="2" t="s">
        <v>234</v>
      </c>
    </row>
    <row r="96" spans="1:4" x14ac:dyDescent="0.35">
      <c r="A96" s="2" t="s">
        <v>46</v>
      </c>
      <c r="B96" s="2" t="s">
        <v>160</v>
      </c>
      <c r="C96" s="7">
        <v>1</v>
      </c>
      <c r="D96" s="2" t="s">
        <v>235</v>
      </c>
    </row>
    <row r="97" spans="1:4" x14ac:dyDescent="0.35">
      <c r="A97" s="2" t="s">
        <v>52</v>
      </c>
      <c r="B97" s="2" t="s">
        <v>166</v>
      </c>
      <c r="C97" s="7">
        <v>1</v>
      </c>
      <c r="D97" s="2" t="s">
        <v>235</v>
      </c>
    </row>
    <row r="98" spans="1:4" x14ac:dyDescent="0.35">
      <c r="A98" s="2" t="s">
        <v>54</v>
      </c>
      <c r="B98" s="2" t="s">
        <v>168</v>
      </c>
      <c r="C98" s="7">
        <v>1</v>
      </c>
      <c r="D98" s="2" t="s">
        <v>235</v>
      </c>
    </row>
    <row r="99" spans="1:4" x14ac:dyDescent="0.35">
      <c r="A99" s="2" t="s">
        <v>63</v>
      </c>
      <c r="B99" s="2" t="s">
        <v>177</v>
      </c>
      <c r="C99" s="7">
        <v>1</v>
      </c>
      <c r="D99" s="2" t="s">
        <v>235</v>
      </c>
    </row>
    <row r="100" spans="1:4" x14ac:dyDescent="0.35">
      <c r="A100" s="2" t="s">
        <v>66</v>
      </c>
      <c r="B100" s="2" t="s">
        <v>180</v>
      </c>
      <c r="C100" s="7">
        <v>1</v>
      </c>
      <c r="D100" s="2" t="s">
        <v>235</v>
      </c>
    </row>
    <row r="101" spans="1:4" x14ac:dyDescent="0.35">
      <c r="A101" s="2" t="s">
        <v>70</v>
      </c>
      <c r="B101" s="2" t="s">
        <v>184</v>
      </c>
      <c r="C101" s="7">
        <v>1</v>
      </c>
      <c r="D101" s="2" t="s">
        <v>235</v>
      </c>
    </row>
    <row r="102" spans="1:4" x14ac:dyDescent="0.35">
      <c r="A102" s="2" t="s">
        <v>73</v>
      </c>
      <c r="B102" s="2" t="s">
        <v>187</v>
      </c>
      <c r="C102" s="7">
        <v>1</v>
      </c>
      <c r="D102" s="2" t="s">
        <v>235</v>
      </c>
    </row>
    <row r="103" spans="1:4" x14ac:dyDescent="0.35">
      <c r="A103" s="2" t="s">
        <v>77</v>
      </c>
      <c r="B103" s="2" t="s">
        <v>191</v>
      </c>
      <c r="C103" s="7">
        <v>1</v>
      </c>
      <c r="D103" s="2" t="s">
        <v>232</v>
      </c>
    </row>
    <row r="104" spans="1:4" x14ac:dyDescent="0.35">
      <c r="A104" s="2" t="s">
        <v>79</v>
      </c>
      <c r="B104" s="2" t="s">
        <v>193</v>
      </c>
      <c r="C104" s="7">
        <v>1</v>
      </c>
      <c r="D104" s="2" t="s">
        <v>235</v>
      </c>
    </row>
    <row r="105" spans="1:4" x14ac:dyDescent="0.35">
      <c r="A105" s="2" t="s">
        <v>89</v>
      </c>
      <c r="B105" s="2" t="s">
        <v>203</v>
      </c>
      <c r="C105" s="7">
        <v>1</v>
      </c>
      <c r="D105" s="2" t="s">
        <v>234</v>
      </c>
    </row>
    <row r="106" spans="1:4" x14ac:dyDescent="0.35">
      <c r="A106" s="2" t="s">
        <v>91</v>
      </c>
      <c r="B106" s="2" t="s">
        <v>205</v>
      </c>
      <c r="C106" s="7">
        <v>1</v>
      </c>
      <c r="D106" s="2" t="s">
        <v>236</v>
      </c>
    </row>
    <row r="107" spans="1:4" x14ac:dyDescent="0.35">
      <c r="A107" s="2" t="s">
        <v>100</v>
      </c>
      <c r="B107" s="2" t="s">
        <v>214</v>
      </c>
      <c r="C107" s="7">
        <v>1</v>
      </c>
      <c r="D107" s="2" t="s">
        <v>234</v>
      </c>
    </row>
    <row r="108" spans="1:4" x14ac:dyDescent="0.35">
      <c r="A108" s="2" t="s">
        <v>102</v>
      </c>
      <c r="B108" s="2" t="s">
        <v>216</v>
      </c>
      <c r="C108" s="7">
        <v>1</v>
      </c>
      <c r="D108" s="2" t="s">
        <v>235</v>
      </c>
    </row>
    <row r="109" spans="1:4" x14ac:dyDescent="0.35">
      <c r="A109" s="2" t="s">
        <v>107</v>
      </c>
      <c r="B109" s="2" t="s">
        <v>221</v>
      </c>
      <c r="C109" s="7">
        <v>1</v>
      </c>
      <c r="D109" s="2" t="s">
        <v>236</v>
      </c>
    </row>
    <row r="110" spans="1:4" x14ac:dyDescent="0.35">
      <c r="A110" s="2" t="s">
        <v>108</v>
      </c>
      <c r="B110" s="2" t="s">
        <v>222</v>
      </c>
      <c r="C110" s="7">
        <v>1</v>
      </c>
      <c r="D110" s="2" t="s">
        <v>235</v>
      </c>
    </row>
    <row r="111" spans="1:4" x14ac:dyDescent="0.35">
      <c r="A111" s="2" t="s">
        <v>112</v>
      </c>
      <c r="B111" s="2" t="s">
        <v>226</v>
      </c>
      <c r="C111" s="7">
        <v>1</v>
      </c>
      <c r="D111" s="2" t="s">
        <v>236</v>
      </c>
    </row>
    <row r="112" spans="1:4" x14ac:dyDescent="0.35">
      <c r="A112" s="2" t="s">
        <v>113</v>
      </c>
      <c r="B112" s="2" t="s">
        <v>227</v>
      </c>
      <c r="C112" s="7">
        <v>1</v>
      </c>
      <c r="D112" s="2" t="s">
        <v>234</v>
      </c>
    </row>
    <row r="113" spans="1:6" x14ac:dyDescent="0.35">
      <c r="A113" s="2" t="s">
        <v>114</v>
      </c>
      <c r="B113" s="2" t="s">
        <v>228</v>
      </c>
      <c r="C113" s="7">
        <v>1</v>
      </c>
      <c r="D113" s="2" t="s">
        <v>234</v>
      </c>
    </row>
    <row r="114" spans="1:6" x14ac:dyDescent="0.35">
      <c r="A114" s="2" t="s">
        <v>116</v>
      </c>
      <c r="B114" s="2" t="s">
        <v>230</v>
      </c>
      <c r="C114" s="7">
        <v>1</v>
      </c>
      <c r="D114" s="2" t="s">
        <v>236</v>
      </c>
    </row>
    <row r="115" spans="1:6" x14ac:dyDescent="0.35">
      <c r="A115" s="2" t="s">
        <v>117</v>
      </c>
      <c r="B115" s="2" t="s">
        <v>231</v>
      </c>
      <c r="C115" s="7">
        <v>1</v>
      </c>
      <c r="D115" s="2" t="s">
        <v>234</v>
      </c>
      <c r="F115" s="1">
        <v>3</v>
      </c>
    </row>
    <row r="116" spans="1:6" x14ac:dyDescent="0.35">
      <c r="F116" s="1">
        <v>5</v>
      </c>
    </row>
    <row r="117" spans="1:6" x14ac:dyDescent="0.35">
      <c r="C117" s="8">
        <f>SUM(C2:C115)</f>
        <v>421</v>
      </c>
      <c r="F117" s="1">
        <f>SUM(F115:F116)</f>
        <v>8</v>
      </c>
    </row>
  </sheetData>
  <sortState xmlns:xlrd2="http://schemas.microsoft.com/office/spreadsheetml/2017/richdata2" ref="A2:D115">
    <sortCondition descending="1" ref="C2:C1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Elena Terán Rodríguez</cp:lastModifiedBy>
  <dcterms:created xsi:type="dcterms:W3CDTF">2025-05-21T12:59:40Z</dcterms:created>
  <dcterms:modified xsi:type="dcterms:W3CDTF">2025-05-21T14:06:35Z</dcterms:modified>
</cp:coreProperties>
</file>